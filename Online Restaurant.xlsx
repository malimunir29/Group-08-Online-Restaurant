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AICT project\"/>
    </mc:Choice>
  </mc:AlternateContent>
  <xr:revisionPtr revIDLastSave="0" documentId="13_ncr:1_{8BF34FD2-9855-4367-9C8A-8C98A08C2584}" xr6:coauthVersionLast="47" xr6:coauthVersionMax="47" xr10:uidLastSave="{00000000-0000-0000-0000-000000000000}"/>
  <bookViews>
    <workbookView xWindow="-120" yWindow="-120" windowWidth="20730" windowHeight="11160" activeTab="2" xr2:uid="{B2F451D5-C88D-4595-A4F4-A2744DFB768A}"/>
  </bookViews>
  <sheets>
    <sheet name="Raw Data" sheetId="1" r:id="rId1"/>
    <sheet name="Calculations" sheetId="2" r:id="rId2"/>
    <sheet name="Summar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6" i="3"/>
  <c r="D13" i="3"/>
  <c r="D17" i="3"/>
  <c r="D16" i="3"/>
  <c r="D15" i="3"/>
  <c r="I6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7" i="2"/>
  <c r="H6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7" i="2"/>
  <c r="G6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F29" i="2"/>
  <c r="E29" i="2"/>
  <c r="B29" i="2"/>
  <c r="D29" i="2" s="1"/>
  <c r="F28" i="2"/>
  <c r="E28" i="2"/>
  <c r="B28" i="2"/>
  <c r="D28" i="2" s="1"/>
  <c r="F27" i="2"/>
  <c r="E27" i="2"/>
  <c r="B27" i="2"/>
  <c r="D27" i="2" s="1"/>
  <c r="F26" i="2"/>
  <c r="E26" i="2"/>
  <c r="B26" i="2"/>
  <c r="D26" i="2" s="1"/>
  <c r="F25" i="2"/>
  <c r="E25" i="2"/>
  <c r="B25" i="2"/>
  <c r="D25" i="2" s="1"/>
  <c r="F24" i="2"/>
  <c r="E24" i="2"/>
  <c r="B24" i="2"/>
  <c r="D24" i="2" s="1"/>
  <c r="F23" i="2"/>
  <c r="E23" i="2"/>
  <c r="B23" i="2"/>
  <c r="D23" i="2" s="1"/>
  <c r="F22" i="2"/>
  <c r="E22" i="2"/>
  <c r="B22" i="2"/>
  <c r="D22" i="2" s="1"/>
  <c r="F21" i="2"/>
  <c r="E21" i="2"/>
  <c r="B21" i="2"/>
  <c r="D21" i="2" s="1"/>
  <c r="F20" i="2"/>
  <c r="E20" i="2"/>
  <c r="B20" i="2"/>
  <c r="D20" i="2" s="1"/>
  <c r="F19" i="2"/>
  <c r="E19" i="2"/>
  <c r="B19" i="2"/>
  <c r="D19" i="2" s="1"/>
  <c r="F18" i="2"/>
  <c r="E18" i="2"/>
  <c r="B18" i="2"/>
  <c r="D18" i="2" s="1"/>
  <c r="F17" i="2"/>
  <c r="E17" i="2"/>
  <c r="B17" i="2"/>
  <c r="D17" i="2" s="1"/>
  <c r="F16" i="2"/>
  <c r="E16" i="2"/>
  <c r="B16" i="2"/>
  <c r="D16" i="2" s="1"/>
  <c r="F15" i="2"/>
  <c r="E15" i="2"/>
  <c r="B15" i="2"/>
  <c r="D15" i="2" s="1"/>
  <c r="F14" i="2"/>
  <c r="E14" i="2"/>
  <c r="B14" i="2"/>
  <c r="D14" i="2" s="1"/>
  <c r="F13" i="2"/>
  <c r="E13" i="2"/>
  <c r="B13" i="2"/>
  <c r="D13" i="2" s="1"/>
  <c r="F12" i="2"/>
  <c r="E12" i="2"/>
  <c r="B12" i="2"/>
  <c r="D12" i="2" s="1"/>
  <c r="F11" i="2"/>
  <c r="E11" i="2"/>
  <c r="B11" i="2"/>
  <c r="D11" i="2" s="1"/>
  <c r="F10" i="2"/>
  <c r="E10" i="2"/>
  <c r="B10" i="2"/>
  <c r="D10" i="2" s="1"/>
  <c r="F9" i="2"/>
  <c r="E9" i="2"/>
  <c r="B9" i="2"/>
  <c r="D9" i="2" s="1"/>
  <c r="F8" i="2"/>
  <c r="E8" i="2"/>
  <c r="B8" i="2"/>
  <c r="D8" i="2" s="1"/>
  <c r="F7" i="2"/>
  <c r="E7" i="2"/>
  <c r="B7" i="2"/>
  <c r="D7" i="2" s="1"/>
  <c r="F6" i="2"/>
  <c r="D12" i="3" s="1"/>
  <c r="E6" i="2"/>
  <c r="B6" i="2"/>
  <c r="D6" i="2" s="1"/>
  <c r="D14" i="3" l="1"/>
  <c r="D11" i="3"/>
  <c r="D9" i="3"/>
  <c r="D8" i="3"/>
  <c r="D10" i="3"/>
</calcChain>
</file>

<file path=xl/sharedStrings.xml><?xml version="1.0" encoding="utf-8"?>
<sst xmlns="http://schemas.openxmlformats.org/spreadsheetml/2006/main" count="93" uniqueCount="66">
  <si>
    <t>Item ID</t>
  </si>
  <si>
    <t>Item Name</t>
  </si>
  <si>
    <t>Category</t>
  </si>
  <si>
    <t>Fast Food</t>
  </si>
  <si>
    <t>Starters</t>
  </si>
  <si>
    <t>Breakfast</t>
  </si>
  <si>
    <t>Soup</t>
  </si>
  <si>
    <t>Dessert</t>
  </si>
  <si>
    <t>Starter</t>
  </si>
  <si>
    <t>Column1</t>
  </si>
  <si>
    <t>Column2</t>
  </si>
  <si>
    <t>Column3</t>
  </si>
  <si>
    <t>Column4</t>
  </si>
  <si>
    <t>Column5</t>
  </si>
  <si>
    <t>Column6</t>
  </si>
  <si>
    <t>Stock</t>
  </si>
  <si>
    <t>Total Value($)</t>
  </si>
  <si>
    <t>Low Stock Check</t>
  </si>
  <si>
    <t>Metric</t>
  </si>
  <si>
    <t>Value</t>
  </si>
  <si>
    <t>Total Inventory Value</t>
  </si>
  <si>
    <t>Average Prices</t>
  </si>
  <si>
    <t>Number of Low Stock Items</t>
  </si>
  <si>
    <t>Total Breakfast Items</t>
  </si>
  <si>
    <t>Total Soup Items</t>
  </si>
  <si>
    <t>Total Dessert Items</t>
  </si>
  <si>
    <t>Total Starter Items</t>
  </si>
  <si>
    <t>Total Stock</t>
  </si>
  <si>
    <t>Number of High Stock Items</t>
  </si>
  <si>
    <t>Calculations</t>
  </si>
  <si>
    <t>Summary</t>
  </si>
  <si>
    <t>Crispy Fried Chicken</t>
  </si>
  <si>
    <t>Cheese Pizza</t>
  </si>
  <si>
    <t>Mini Sliders With Fries</t>
  </si>
  <si>
    <t>Grilled Club Sandwich</t>
  </si>
  <si>
    <t>Fresh Spring Rolls</t>
  </si>
  <si>
    <t>Chocolate Cake</t>
  </si>
  <si>
    <t>Chicken Wrap</t>
  </si>
  <si>
    <t>Beef Steek</t>
  </si>
  <si>
    <t>Grilled Fish</t>
  </si>
  <si>
    <t>Fruit Porridge</t>
  </si>
  <si>
    <t>Grilled Meat</t>
  </si>
  <si>
    <t>Mixed Chicken</t>
  </si>
  <si>
    <t>Dessert Plate</t>
  </si>
  <si>
    <t>Pasta With Vegetables</t>
  </si>
  <si>
    <t>Spinach Chicken</t>
  </si>
  <si>
    <t>Vegetable Soup</t>
  </si>
  <si>
    <t>Pumpkin Soup</t>
  </si>
  <si>
    <t>Mediterranean Platter</t>
  </si>
  <si>
    <t>Boiled Eggs With Greens</t>
  </si>
  <si>
    <t>Fruit &amp; Yogurt Bowl</t>
  </si>
  <si>
    <t>Chicken Burger</t>
  </si>
  <si>
    <t>Fresh Garden Salad</t>
  </si>
  <si>
    <t>Fresh Fries With Dips</t>
  </si>
  <si>
    <t>Samosas With Chutney</t>
  </si>
  <si>
    <t>Menu Item Inventory</t>
  </si>
  <si>
    <t>Cost Price ($)</t>
  </si>
  <si>
    <t>Selling Price ($)</t>
  </si>
  <si>
    <t>Column7</t>
  </si>
  <si>
    <t>Column8</t>
  </si>
  <si>
    <t>Beneficial Cost ($)</t>
  </si>
  <si>
    <t>Column9</t>
  </si>
  <si>
    <t>Percentage (%)</t>
  </si>
  <si>
    <t>Total Selling Price</t>
  </si>
  <si>
    <t>Total Cost Price</t>
  </si>
  <si>
    <t>Total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</si>
</sst>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 tint="0.1499984740745262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 tint="0.14999847407452621"/>
      <name val="Calibri Light"/>
      <family val="2"/>
      <scheme val="maj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44" fontId="0" fillId="0" borderId="0" xfId="1" applyFont="1"/>
    <xf numFmtId="44" fontId="0" fillId="0" borderId="0" xfId="0" applyNumberFormat="1"/>
    <xf numFmtId="0" fontId="0" fillId="2" borderId="0" xfId="0" applyFill="1" applyAlignment="1">
      <alignment horizontal="center"/>
    </xf>
    <xf numFmtId="44" fontId="0" fillId="2" borderId="0" xfId="1" applyFont="1" applyFill="1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0" fontId="3" fillId="3" borderId="0" xfId="0" applyFont="1" applyFill="1"/>
    <xf numFmtId="0" fontId="9" fillId="0" borderId="0" xfId="0" applyFont="1"/>
    <xf numFmtId="0" fontId="3" fillId="0" borderId="0" xfId="0" applyFont="1"/>
    <xf numFmtId="44" fontId="0" fillId="0" borderId="0" xfId="0" applyNumberFormat="1" applyAlignment="1">
      <alignment horizontal="center"/>
    </xf>
    <xf numFmtId="44" fontId="0" fillId="0" borderId="0" xfId="1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44" fontId="0" fillId="0" borderId="0" xfId="0" applyNumberFormat="1" applyAlignment="1">
      <alignment horizontal="left"/>
    </xf>
    <xf numFmtId="9" fontId="0" fillId="0" borderId="0" xfId="2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4" fontId="11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23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08080"/>
      <color rgb="FF333333"/>
      <color rgb="FF0066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Prices</a:t>
            </a:r>
            <a:r>
              <a:rPr lang="en-US" baseline="0"/>
              <a:t> and Stocks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[1]Sheet1!$B$4:$B$27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3">
                  <c:v>11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16</c:v>
                </c:pt>
                <c:pt idx="8">
                  <c:v>17</c:v>
                </c:pt>
                <c:pt idx="9">
                  <c:v>22</c:v>
                </c:pt>
                <c:pt idx="10">
                  <c:v>14</c:v>
                </c:pt>
                <c:pt idx="11">
                  <c:v>12</c:v>
                </c:pt>
                <c:pt idx="12">
                  <c:v>11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23</c:v>
                </c:pt>
                <c:pt idx="17">
                  <c:v>16</c:v>
                </c:pt>
                <c:pt idx="18">
                  <c:v>26</c:v>
                </c:pt>
                <c:pt idx="19">
                  <c:v>23</c:v>
                </c:pt>
                <c:pt idx="20">
                  <c:v>28</c:v>
                </c:pt>
                <c:pt idx="21">
                  <c:v>30</c:v>
                </c:pt>
                <c:pt idx="22">
                  <c:v>24</c:v>
                </c:pt>
                <c:pt idx="2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E-4CD2-859E-4909A1B4070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[1]Sheet1!$C$4:$C$27</c:f>
              <c:numCache>
                <c:formatCode>General</c:formatCode>
                <c:ptCount val="24"/>
                <c:pt idx="0">
                  <c:v>20</c:v>
                </c:pt>
                <c:pt idx="1">
                  <c:v>15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50</c:v>
                </c:pt>
                <c:pt idx="6">
                  <c:v>22</c:v>
                </c:pt>
                <c:pt idx="7">
                  <c:v>29</c:v>
                </c:pt>
                <c:pt idx="8">
                  <c:v>40</c:v>
                </c:pt>
                <c:pt idx="9">
                  <c:v>45</c:v>
                </c:pt>
                <c:pt idx="10">
                  <c:v>32</c:v>
                </c:pt>
                <c:pt idx="11">
                  <c:v>43</c:v>
                </c:pt>
                <c:pt idx="12">
                  <c:v>60</c:v>
                </c:pt>
                <c:pt idx="13">
                  <c:v>53</c:v>
                </c:pt>
                <c:pt idx="14">
                  <c:v>12</c:v>
                </c:pt>
                <c:pt idx="15">
                  <c:v>16</c:v>
                </c:pt>
                <c:pt idx="16">
                  <c:v>43</c:v>
                </c:pt>
                <c:pt idx="17">
                  <c:v>30</c:v>
                </c:pt>
                <c:pt idx="18">
                  <c:v>65</c:v>
                </c:pt>
                <c:pt idx="19">
                  <c:v>14</c:v>
                </c:pt>
                <c:pt idx="20">
                  <c:v>47</c:v>
                </c:pt>
                <c:pt idx="21">
                  <c:v>55</c:v>
                </c:pt>
                <c:pt idx="22">
                  <c:v>57</c:v>
                </c:pt>
                <c:pt idx="2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E-4CD2-859E-4909A1B40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474048"/>
        <c:axId val="207475008"/>
      </c:barChart>
      <c:catAx>
        <c:axId val="20747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5008"/>
        <c:crosses val="autoZero"/>
        <c:auto val="1"/>
        <c:lblAlgn val="ctr"/>
        <c:lblOffset val="100"/>
        <c:noMultiLvlLbl val="0"/>
      </c:catAx>
      <c:valAx>
        <c:axId val="2074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7030A0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Selling Price ($)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[1]Sheet1!$D$4:$D$27</c:f>
              <c:numCache>
                <c:formatCode>General</c:formatCode>
                <c:ptCount val="24"/>
                <c:pt idx="0">
                  <c:v>260</c:v>
                </c:pt>
                <c:pt idx="1">
                  <c:v>180</c:v>
                </c:pt>
                <c:pt idx="2">
                  <c:v>450</c:v>
                </c:pt>
                <c:pt idx="3">
                  <c:v>275</c:v>
                </c:pt>
                <c:pt idx="4">
                  <c:v>665</c:v>
                </c:pt>
                <c:pt idx="5">
                  <c:v>1000</c:v>
                </c:pt>
                <c:pt idx="6">
                  <c:v>462</c:v>
                </c:pt>
                <c:pt idx="7">
                  <c:v>464</c:v>
                </c:pt>
                <c:pt idx="8">
                  <c:v>680</c:v>
                </c:pt>
                <c:pt idx="9">
                  <c:v>990</c:v>
                </c:pt>
                <c:pt idx="10">
                  <c:v>448</c:v>
                </c:pt>
                <c:pt idx="11">
                  <c:v>516</c:v>
                </c:pt>
                <c:pt idx="12">
                  <c:v>660</c:v>
                </c:pt>
                <c:pt idx="13">
                  <c:v>954</c:v>
                </c:pt>
                <c:pt idx="14">
                  <c:v>228</c:v>
                </c:pt>
                <c:pt idx="15">
                  <c:v>320</c:v>
                </c:pt>
                <c:pt idx="16">
                  <c:v>989</c:v>
                </c:pt>
                <c:pt idx="17">
                  <c:v>480</c:v>
                </c:pt>
                <c:pt idx="18">
                  <c:v>1690</c:v>
                </c:pt>
                <c:pt idx="19">
                  <c:v>322</c:v>
                </c:pt>
                <c:pt idx="20">
                  <c:v>1316</c:v>
                </c:pt>
                <c:pt idx="21">
                  <c:v>1650</c:v>
                </c:pt>
                <c:pt idx="22">
                  <c:v>1368</c:v>
                </c:pt>
                <c:pt idx="23">
                  <c:v>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3-468D-9593-1E53DE4E0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027039"/>
        <c:axId val="115028479"/>
      </c:barChart>
      <c:catAx>
        <c:axId val="11502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8479"/>
        <c:crosses val="autoZero"/>
        <c:auto val="1"/>
        <c:lblAlgn val="ctr"/>
        <c:lblOffset val="100"/>
        <c:noMultiLvlLbl val="0"/>
      </c:catAx>
      <c:valAx>
        <c:axId val="1150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>
                    <a:lumMod val="85000"/>
                    <a:lumOff val="15000"/>
                  </a:schemeClr>
                </a:solidFill>
              </a:rPr>
              <a:t>Bonus</a:t>
            </a:r>
            <a:r>
              <a:rPr lang="en-US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77-4DDF-8706-ABF4193FDD3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77-4DDF-8706-ABF4193FDD3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77-4DDF-8706-ABF4193FDD3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77-4DDF-8706-ABF4193FDD3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77-4DDF-8706-ABF4193FDD3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77-4DDF-8706-ABF4193FDD3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77-4DDF-8706-ABF4193FDD3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77-4DDF-8706-ABF4193FDD3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F77-4DDF-8706-ABF4193FDD3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F77-4DDF-8706-ABF4193FDD31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F77-4DDF-8706-ABF4193FDD31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F77-4DDF-8706-ABF4193FDD31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F77-4DDF-8706-ABF4193FDD31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F77-4DDF-8706-ABF4193FDD31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F77-4DDF-8706-ABF4193FDD31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F77-4DDF-8706-ABF4193FDD31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F77-4DDF-8706-ABF4193FDD31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F77-4DDF-8706-ABF4193FDD31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F77-4DDF-8706-ABF4193FDD31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F77-4DDF-8706-ABF4193FDD31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F77-4DDF-8706-ABF4193FDD31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F77-4DDF-8706-ABF4193FDD31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F77-4DDF-8706-ABF4193FDD31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F77-4DDF-8706-ABF4193FDD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Calculations!$A$6:$A$29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Calculations!$H$6:$H$29</c:f>
              <c:numCache>
                <c:formatCode>_("$"* #,##0.00_);_("$"* \(#,##0.00\);_("$"* "-"??_);_(@_)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F77-4DDF-8706-ABF4193FDD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16</xdr:row>
      <xdr:rowOff>161924</xdr:rowOff>
    </xdr:from>
    <xdr:to>
      <xdr:col>15</xdr:col>
      <xdr:colOff>47625</xdr:colOff>
      <xdr:row>30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9CCE6-EEA9-4097-A4F5-3CCB20AC1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76200</xdr:colOff>
      <xdr:row>0</xdr:row>
      <xdr:rowOff>57150</xdr:rowOff>
    </xdr:from>
    <xdr:to>
      <xdr:col>20</xdr:col>
      <xdr:colOff>104775</xdr:colOff>
      <xdr:row>15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AEB2F-2214-43D0-9878-F5A2545DE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0</xdr:row>
      <xdr:rowOff>47625</xdr:rowOff>
    </xdr:from>
    <xdr:to>
      <xdr:col>12</xdr:col>
      <xdr:colOff>542925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483360-A210-4A88-AD16-60F4BD202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DF\AICT%20project\Calculations.xlsx" TargetMode="External"/><Relationship Id="rId1" Type="http://schemas.openxmlformats.org/officeDocument/2006/relationships/externalLinkPath" Target="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4">
          <cell r="A4" t="str">
            <v>CRISPY FRIED CHICKEN</v>
          </cell>
          <cell r="B4">
            <v>13</v>
          </cell>
          <cell r="C4">
            <v>20</v>
          </cell>
          <cell r="D4">
            <v>260</v>
          </cell>
        </row>
        <row r="5">
          <cell r="A5" t="str">
            <v>CHEESE PIZZA</v>
          </cell>
          <cell r="B5">
            <v>12</v>
          </cell>
          <cell r="C5">
            <v>15</v>
          </cell>
          <cell r="D5">
            <v>180</v>
          </cell>
        </row>
        <row r="6">
          <cell r="A6" t="str">
            <v>MINI SLIDERS WITH FRIES</v>
          </cell>
          <cell r="B6">
            <v>15</v>
          </cell>
          <cell r="C6">
            <v>30</v>
          </cell>
          <cell r="D6">
            <v>450</v>
          </cell>
        </row>
        <row r="7">
          <cell r="A7" t="str">
            <v>GRILLED CLUB SANDWICH</v>
          </cell>
          <cell r="B7">
            <v>11</v>
          </cell>
          <cell r="C7">
            <v>25</v>
          </cell>
          <cell r="D7">
            <v>275</v>
          </cell>
        </row>
        <row r="8">
          <cell r="A8" t="str">
            <v>FRESH SPRING ROLLS</v>
          </cell>
          <cell r="B8">
            <v>19</v>
          </cell>
          <cell r="C8">
            <v>35</v>
          </cell>
          <cell r="D8">
            <v>665</v>
          </cell>
        </row>
        <row r="9">
          <cell r="A9" t="str">
            <v>SAMOSAS WITH CHUTNEY</v>
          </cell>
          <cell r="B9">
            <v>20</v>
          </cell>
          <cell r="C9">
            <v>50</v>
          </cell>
          <cell r="D9">
            <v>1000</v>
          </cell>
        </row>
        <row r="10">
          <cell r="A10" t="str">
            <v>FRESH FRIES WITH DIPS</v>
          </cell>
          <cell r="B10">
            <v>21</v>
          </cell>
          <cell r="C10">
            <v>22</v>
          </cell>
          <cell r="D10">
            <v>462</v>
          </cell>
        </row>
        <row r="11">
          <cell r="A11" t="str">
            <v>FRESH GARDEN SALAD</v>
          </cell>
          <cell r="B11">
            <v>16</v>
          </cell>
          <cell r="C11">
            <v>29</v>
          </cell>
          <cell r="D11">
            <v>464</v>
          </cell>
        </row>
        <row r="12">
          <cell r="A12" t="str">
            <v>CHICKEN BURGER</v>
          </cell>
          <cell r="B12">
            <v>17</v>
          </cell>
          <cell r="C12">
            <v>40</v>
          </cell>
          <cell r="D12">
            <v>680</v>
          </cell>
        </row>
        <row r="13">
          <cell r="A13" t="str">
            <v>FRUIT &amp; YOGURT BOWL</v>
          </cell>
          <cell r="B13">
            <v>22</v>
          </cell>
          <cell r="C13">
            <v>45</v>
          </cell>
          <cell r="D13">
            <v>990</v>
          </cell>
        </row>
        <row r="14">
          <cell r="A14" t="str">
            <v>BOILED EGGS WITH GREENS</v>
          </cell>
          <cell r="B14">
            <v>14</v>
          </cell>
          <cell r="C14">
            <v>32</v>
          </cell>
          <cell r="D14">
            <v>448</v>
          </cell>
        </row>
        <row r="15">
          <cell r="A15" t="str">
            <v>MEDITERRANEAN PLATTER</v>
          </cell>
          <cell r="B15">
            <v>12</v>
          </cell>
          <cell r="C15">
            <v>43</v>
          </cell>
          <cell r="D15">
            <v>516</v>
          </cell>
        </row>
        <row r="16">
          <cell r="A16" t="str">
            <v>PUMPKIN SOUP</v>
          </cell>
          <cell r="B16">
            <v>11</v>
          </cell>
          <cell r="C16">
            <v>60</v>
          </cell>
          <cell r="D16">
            <v>660</v>
          </cell>
        </row>
        <row r="17">
          <cell r="A17" t="str">
            <v>VEGETABLE SOUP</v>
          </cell>
          <cell r="B17">
            <v>18</v>
          </cell>
          <cell r="C17">
            <v>53</v>
          </cell>
          <cell r="D17">
            <v>954</v>
          </cell>
        </row>
        <row r="18">
          <cell r="A18" t="str">
            <v>SPINACH CHICKEN</v>
          </cell>
          <cell r="B18">
            <v>19</v>
          </cell>
          <cell r="C18">
            <v>12</v>
          </cell>
          <cell r="D18">
            <v>228</v>
          </cell>
        </row>
        <row r="19">
          <cell r="A19" t="str">
            <v>PASTA WITH VEGETABLES</v>
          </cell>
          <cell r="B19">
            <v>20</v>
          </cell>
          <cell r="C19">
            <v>16</v>
          </cell>
          <cell r="D19">
            <v>320</v>
          </cell>
        </row>
        <row r="20">
          <cell r="A20" t="str">
            <v>DESSERT PLATE</v>
          </cell>
          <cell r="B20">
            <v>23</v>
          </cell>
          <cell r="C20">
            <v>43</v>
          </cell>
          <cell r="D20">
            <v>989</v>
          </cell>
        </row>
        <row r="21">
          <cell r="A21" t="str">
            <v>MIXED CHICKEN</v>
          </cell>
          <cell r="B21">
            <v>16</v>
          </cell>
          <cell r="C21">
            <v>30</v>
          </cell>
          <cell r="D21">
            <v>480</v>
          </cell>
        </row>
        <row r="22">
          <cell r="A22" t="str">
            <v>GRILLED MEAT</v>
          </cell>
          <cell r="B22">
            <v>26</v>
          </cell>
          <cell r="C22">
            <v>65</v>
          </cell>
          <cell r="D22">
            <v>1690</v>
          </cell>
        </row>
        <row r="23">
          <cell r="A23" t="str">
            <v>FRUIT PORRIDGE</v>
          </cell>
          <cell r="B23">
            <v>23</v>
          </cell>
          <cell r="C23">
            <v>14</v>
          </cell>
          <cell r="D23">
            <v>322</v>
          </cell>
        </row>
        <row r="24">
          <cell r="A24" t="str">
            <v>GRILLED FISH</v>
          </cell>
          <cell r="B24">
            <v>28</v>
          </cell>
          <cell r="C24">
            <v>47</v>
          </cell>
          <cell r="D24">
            <v>1316</v>
          </cell>
        </row>
        <row r="25">
          <cell r="A25" t="str">
            <v>BEEF STEEK</v>
          </cell>
          <cell r="B25">
            <v>30</v>
          </cell>
          <cell r="C25">
            <v>55</v>
          </cell>
          <cell r="D25">
            <v>1650</v>
          </cell>
        </row>
        <row r="26">
          <cell r="A26" t="str">
            <v>CHICKEN WRAP</v>
          </cell>
          <cell r="B26">
            <v>24</v>
          </cell>
          <cell r="C26">
            <v>57</v>
          </cell>
          <cell r="D26">
            <v>1368</v>
          </cell>
        </row>
        <row r="27">
          <cell r="A27" t="str">
            <v>CHOCOLATE CAKE</v>
          </cell>
          <cell r="B27">
            <v>45</v>
          </cell>
          <cell r="C27">
            <v>62</v>
          </cell>
          <cell r="D27">
            <v>2790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D35F9A-FED2-44A5-8A4D-A0CCA9C0D9FA}" name="Table4" displayName="Table4" ref="B4:D28" totalsRowShown="0" headerRowDxfId="22" dataDxfId="21">
  <autoFilter ref="B4:D28" xr:uid="{59D35F9A-FED2-44A5-8A4D-A0CCA9C0D9FA}"/>
  <tableColumns count="3">
    <tableColumn id="1" xr3:uid="{A3E811C1-5DEE-44EF-B4AB-39CB4433B517}" name="Item Name" dataDxfId="20"/>
    <tableColumn id="2" xr3:uid="{19806B73-23AE-4AF5-B0CD-2EBB027585D4}" name="Category" dataDxfId="19"/>
    <tableColumn id="3" xr3:uid="{2FA24D58-2C54-4B63-8AFA-2C34280F07A4}" name="Selling Price ($)" dataDxfId="18" dataCellStyle="Currency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03A13B-88D1-47F7-BA57-0124C40E1B9D}" name="Table5" displayName="Table5" ref="A4:A28" totalsRowShown="0" headerRowDxfId="17" dataDxfId="16">
  <autoFilter ref="A4:A28" xr:uid="{2B03A13B-88D1-47F7-BA57-0124C40E1B9D}"/>
  <tableColumns count="1">
    <tableColumn id="1" xr3:uid="{9607C796-5954-4A43-83D2-60C320137707}" name="Item ID" dataDxfId="15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9D1158-B783-4A99-8403-313F20A72F95}" name="Table3" displayName="Table3" ref="F4:F28" totalsRowShown="0" headerRowDxfId="14" dataDxfId="13" dataCellStyle="Currency">
  <autoFilter ref="F4:F28" xr:uid="{CE9D1158-B783-4A99-8403-313F20A72F95}"/>
  <tableColumns count="1">
    <tableColumn id="1" xr3:uid="{CA354823-501C-4709-A004-20587BC99247}" name="Cost Price ($)" dataDxfId="12" dataCellStyle="Currency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49855-6FA2-4E22-9EAE-CFEC6CE2ABA3}" name="Table1" displayName="Table1" ref="A3:I29" totalsRowShown="0" headerRowDxfId="11">
  <autoFilter ref="A3:I29" xr:uid="{B4F49855-6FA2-4E22-9EAE-CFEC6CE2ABA3}"/>
  <tableColumns count="9">
    <tableColumn id="1" xr3:uid="{398E4374-1C46-4249-98F5-F5C6B9D4142B}" name="Column1"/>
    <tableColumn id="2" xr3:uid="{4264A193-E322-488D-A5E8-836F90C4343D}" name="Column2" dataDxfId="10" dataCellStyle="Currency">
      <calculatedColumnFormula>'Raw Data'!D3</calculatedColumnFormula>
    </tableColumn>
    <tableColumn id="3" xr3:uid="{A333AC6B-6764-4674-B04F-25289523B92E}" name="Column3" dataDxfId="9"/>
    <tableColumn id="4" xr3:uid="{ABAAC793-359F-49FD-8FD3-208C968C95BD}" name="Column4" dataDxfId="8">
      <calculatedColumnFormula>B4*C4</calculatedColumnFormula>
    </tableColumn>
    <tableColumn id="5" xr3:uid="{688D2817-EAF2-43D4-9A10-1E6202C5BC8F}" name="Column5" dataDxfId="7">
      <calculatedColumnFormula>IF(C4&lt;25,"Low","High")</calculatedColumnFormula>
    </tableColumn>
    <tableColumn id="6" xr3:uid="{7864E2DC-778A-42C2-9B06-54DDE2D0E77F}" name="Column6">
      <calculatedColumnFormula>'Raw Data'!C3</calculatedColumnFormula>
    </tableColumn>
    <tableColumn id="7" xr3:uid="{C5A21F31-313A-48A1-9F9D-DA9865392174}" name="Column7"/>
    <tableColumn id="8" xr3:uid="{9F8BF907-314D-4F1F-B21B-DFFD5E255C12}" name="Column8"/>
    <tableColumn id="9" xr3:uid="{CBF58C9A-5F46-4E24-A333-0481F49DA44F}" name="Column9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DB66D5-3F33-48FD-B16D-977643A6FE4A}" name="Table2" displayName="Table2" ref="A5:E17" totalsRowShown="0" headerRowDxfId="6" dataDxfId="5">
  <autoFilter ref="A5:E17" xr:uid="{00DB66D5-3F33-48FD-B16D-977643A6FE4A}"/>
  <tableColumns count="5">
    <tableColumn id="1" xr3:uid="{38EC7780-4E64-4D70-9DE1-78FFB8D136B3}" name="Column1" dataDxfId="4"/>
    <tableColumn id="2" xr3:uid="{01C9FEAA-FE26-466D-94A2-ADD4D6DB8A23}" name="Column2" dataDxfId="3"/>
    <tableColumn id="3" xr3:uid="{F08E6396-985C-4C17-ADAE-347C951062E7}" name="Column3" dataDxfId="2"/>
    <tableColumn id="4" xr3:uid="{DA1B7787-7A90-48E0-92A7-6B9EF82917D4}" name="Column4" dataDxfId="1"/>
    <tableColumn id="5" xr3:uid="{E73ECF87-0DFB-4433-A727-7004A3976184}" name="Column5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5570-5AE8-48B1-8141-F83B63B53216}">
  <dimension ref="A1:H28"/>
  <sheetViews>
    <sheetView showGridLines="0" topLeftCell="A4" zoomScale="94" zoomScaleNormal="94" workbookViewId="0">
      <selection activeCell="F6" sqref="F6"/>
    </sheetView>
  </sheetViews>
  <sheetFormatPr defaultRowHeight="15" x14ac:dyDescent="0.25"/>
  <cols>
    <col min="1" max="1" width="13.7109375" customWidth="1"/>
    <col min="2" max="2" width="27.42578125" customWidth="1"/>
    <col min="3" max="3" width="18.28515625" customWidth="1"/>
    <col min="4" max="4" width="15.85546875" customWidth="1"/>
    <col min="5" max="5" width="0.140625" hidden="1" customWidth="1"/>
    <col min="6" max="6" width="15" customWidth="1"/>
  </cols>
  <sheetData>
    <row r="1" spans="1:8" ht="9" customHeight="1" x14ac:dyDescent="0.7">
      <c r="A1" s="13"/>
      <c r="B1" s="14"/>
      <c r="C1" s="14"/>
      <c r="D1" s="14"/>
      <c r="E1" s="12"/>
    </row>
    <row r="2" spans="1:8" ht="37.5" customHeight="1" x14ac:dyDescent="0.7">
      <c r="A2" s="21" t="s">
        <v>55</v>
      </c>
      <c r="B2" s="21"/>
      <c r="C2" s="21"/>
      <c r="D2" s="21"/>
      <c r="E2" s="21"/>
      <c r="F2" s="21"/>
    </row>
    <row r="3" spans="1:8" ht="17.25" hidden="1" customHeight="1" x14ac:dyDescent="0.5">
      <c r="A3" s="12"/>
      <c r="B3" s="12"/>
      <c r="C3" s="12"/>
      <c r="D3" s="12"/>
      <c r="E3" s="12"/>
    </row>
    <row r="4" spans="1:8" ht="31.5" customHeight="1" x14ac:dyDescent="0.25">
      <c r="A4" s="2" t="s">
        <v>0</v>
      </c>
      <c r="B4" s="2" t="s">
        <v>1</v>
      </c>
      <c r="C4" s="2" t="s">
        <v>2</v>
      </c>
      <c r="D4" s="2" t="s">
        <v>57</v>
      </c>
      <c r="F4" s="18" t="s">
        <v>56</v>
      </c>
    </row>
    <row r="5" spans="1:8" x14ac:dyDescent="0.25">
      <c r="A5" s="10">
        <v>101</v>
      </c>
      <c r="B5" s="10" t="s">
        <v>31</v>
      </c>
      <c r="C5" s="10" t="s">
        <v>3</v>
      </c>
      <c r="D5" s="3">
        <v>13</v>
      </c>
      <c r="F5" s="6">
        <v>10</v>
      </c>
      <c r="H5" s="4"/>
    </row>
    <row r="6" spans="1:8" x14ac:dyDescent="0.25">
      <c r="A6" s="10">
        <v>102</v>
      </c>
      <c r="B6" s="10" t="s">
        <v>32</v>
      </c>
      <c r="C6" s="10" t="s">
        <v>3</v>
      </c>
      <c r="D6" s="11">
        <v>12</v>
      </c>
      <c r="F6" s="6">
        <v>9</v>
      </c>
    </row>
    <row r="7" spans="1:8" x14ac:dyDescent="0.25">
      <c r="A7" s="10">
        <v>103</v>
      </c>
      <c r="B7" s="10" t="s">
        <v>33</v>
      </c>
      <c r="C7" s="10" t="s">
        <v>8</v>
      </c>
      <c r="D7" s="11">
        <v>15</v>
      </c>
      <c r="F7" s="6">
        <v>12</v>
      </c>
    </row>
    <row r="8" spans="1:8" x14ac:dyDescent="0.25">
      <c r="A8" s="10">
        <v>104</v>
      </c>
      <c r="B8" s="10" t="s">
        <v>34</v>
      </c>
      <c r="C8" s="10" t="s">
        <v>3</v>
      </c>
      <c r="D8" s="11">
        <v>11</v>
      </c>
      <c r="F8" s="6">
        <v>8</v>
      </c>
    </row>
    <row r="9" spans="1:8" x14ac:dyDescent="0.25">
      <c r="A9" s="10">
        <v>105</v>
      </c>
      <c r="B9" s="10" t="s">
        <v>35</v>
      </c>
      <c r="C9" s="10" t="s">
        <v>8</v>
      </c>
      <c r="D9" s="11">
        <v>19</v>
      </c>
      <c r="F9" s="6">
        <v>16</v>
      </c>
    </row>
    <row r="10" spans="1:8" x14ac:dyDescent="0.25">
      <c r="A10" s="10">
        <v>106</v>
      </c>
      <c r="B10" s="10" t="s">
        <v>54</v>
      </c>
      <c r="C10" s="10" t="s">
        <v>8</v>
      </c>
      <c r="D10" s="11">
        <v>20</v>
      </c>
      <c r="F10" s="6">
        <v>17</v>
      </c>
    </row>
    <row r="11" spans="1:8" x14ac:dyDescent="0.25">
      <c r="A11" s="10">
        <v>107</v>
      </c>
      <c r="B11" s="10" t="s">
        <v>53</v>
      </c>
      <c r="C11" s="10" t="s">
        <v>8</v>
      </c>
      <c r="D11" s="11">
        <v>21</v>
      </c>
      <c r="F11" s="6">
        <v>18</v>
      </c>
    </row>
    <row r="12" spans="1:8" x14ac:dyDescent="0.25">
      <c r="A12" s="10">
        <v>108</v>
      </c>
      <c r="B12" s="10" t="s">
        <v>52</v>
      </c>
      <c r="C12" s="10" t="s">
        <v>3</v>
      </c>
      <c r="D12" s="11">
        <v>16</v>
      </c>
      <c r="F12" s="6">
        <v>14</v>
      </c>
    </row>
    <row r="13" spans="1:8" x14ac:dyDescent="0.25">
      <c r="A13" s="10">
        <v>109</v>
      </c>
      <c r="B13" s="10" t="s">
        <v>51</v>
      </c>
      <c r="C13" s="10" t="s">
        <v>3</v>
      </c>
      <c r="D13" s="11">
        <v>17</v>
      </c>
      <c r="F13" s="6">
        <v>13</v>
      </c>
    </row>
    <row r="14" spans="1:8" x14ac:dyDescent="0.25">
      <c r="A14" s="10">
        <v>110</v>
      </c>
      <c r="B14" s="10" t="s">
        <v>50</v>
      </c>
      <c r="C14" s="10" t="s">
        <v>5</v>
      </c>
      <c r="D14" s="11">
        <v>22</v>
      </c>
      <c r="F14" s="6">
        <v>17</v>
      </c>
    </row>
    <row r="15" spans="1:8" x14ac:dyDescent="0.25">
      <c r="A15" s="10">
        <v>111</v>
      </c>
      <c r="B15" s="10" t="s">
        <v>49</v>
      </c>
      <c r="C15" s="10" t="s">
        <v>4</v>
      </c>
      <c r="D15" s="11">
        <v>14</v>
      </c>
      <c r="F15" s="24">
        <v>11</v>
      </c>
    </row>
    <row r="16" spans="1:8" x14ac:dyDescent="0.25">
      <c r="A16" s="10">
        <v>112</v>
      </c>
      <c r="B16" s="10" t="s">
        <v>48</v>
      </c>
      <c r="C16" s="10" t="s">
        <v>3</v>
      </c>
      <c r="D16" s="11">
        <v>12</v>
      </c>
      <c r="F16" s="6">
        <v>9</v>
      </c>
    </row>
    <row r="17" spans="1:6" x14ac:dyDescent="0.25">
      <c r="A17" s="10">
        <v>113</v>
      </c>
      <c r="B17" s="10" t="s">
        <v>47</v>
      </c>
      <c r="C17" s="10" t="s">
        <v>6</v>
      </c>
      <c r="D17" s="11">
        <v>11</v>
      </c>
      <c r="F17" s="6">
        <v>9</v>
      </c>
    </row>
    <row r="18" spans="1:6" x14ac:dyDescent="0.25">
      <c r="A18" s="10">
        <v>114</v>
      </c>
      <c r="B18" s="10" t="s">
        <v>46</v>
      </c>
      <c r="C18" s="10" t="s">
        <v>6</v>
      </c>
      <c r="D18" s="11">
        <v>18</v>
      </c>
      <c r="F18" s="6">
        <v>14</v>
      </c>
    </row>
    <row r="19" spans="1:6" x14ac:dyDescent="0.25">
      <c r="A19" s="10">
        <v>115</v>
      </c>
      <c r="B19" s="10" t="s">
        <v>45</v>
      </c>
      <c r="C19" s="10" t="s">
        <v>3</v>
      </c>
      <c r="D19" s="11">
        <v>19</v>
      </c>
      <c r="F19" s="6">
        <v>17</v>
      </c>
    </row>
    <row r="20" spans="1:6" x14ac:dyDescent="0.25">
      <c r="A20" s="10">
        <v>116</v>
      </c>
      <c r="B20" s="10" t="s">
        <v>44</v>
      </c>
      <c r="C20" s="10" t="s">
        <v>3</v>
      </c>
      <c r="D20" s="11">
        <v>20</v>
      </c>
      <c r="F20" s="6">
        <v>18</v>
      </c>
    </row>
    <row r="21" spans="1:6" x14ac:dyDescent="0.25">
      <c r="A21" s="10">
        <v>117</v>
      </c>
      <c r="B21" s="10" t="s">
        <v>43</v>
      </c>
      <c r="C21" s="10" t="s">
        <v>3</v>
      </c>
      <c r="D21" s="11">
        <v>23</v>
      </c>
      <c r="F21" s="6">
        <v>16</v>
      </c>
    </row>
    <row r="22" spans="1:6" x14ac:dyDescent="0.25">
      <c r="A22" s="10">
        <v>118</v>
      </c>
      <c r="B22" s="10" t="s">
        <v>42</v>
      </c>
      <c r="C22" s="10" t="s">
        <v>3</v>
      </c>
      <c r="D22" s="11">
        <v>16</v>
      </c>
      <c r="F22" s="6">
        <v>12</v>
      </c>
    </row>
    <row r="23" spans="1:6" x14ac:dyDescent="0.25">
      <c r="A23" s="10">
        <v>119</v>
      </c>
      <c r="B23" s="10" t="s">
        <v>41</v>
      </c>
      <c r="C23" s="10" t="s">
        <v>3</v>
      </c>
      <c r="D23" s="11">
        <v>26</v>
      </c>
      <c r="F23" s="6">
        <v>21</v>
      </c>
    </row>
    <row r="24" spans="1:6" x14ac:dyDescent="0.25">
      <c r="A24" s="10">
        <v>120</v>
      </c>
      <c r="B24" s="10" t="s">
        <v>40</v>
      </c>
      <c r="C24" s="10" t="s">
        <v>7</v>
      </c>
      <c r="D24" s="11">
        <v>23</v>
      </c>
      <c r="F24" s="6">
        <v>20</v>
      </c>
    </row>
    <row r="25" spans="1:6" x14ac:dyDescent="0.25">
      <c r="A25" s="10">
        <v>121</v>
      </c>
      <c r="B25" s="10" t="s">
        <v>39</v>
      </c>
      <c r="C25" s="10" t="s">
        <v>3</v>
      </c>
      <c r="D25" s="11">
        <v>28</v>
      </c>
      <c r="F25" s="6">
        <v>25</v>
      </c>
    </row>
    <row r="26" spans="1:6" x14ac:dyDescent="0.25">
      <c r="A26" s="10">
        <v>122</v>
      </c>
      <c r="B26" s="10" t="s">
        <v>38</v>
      </c>
      <c r="C26" s="10" t="s">
        <v>3</v>
      </c>
      <c r="D26" s="11">
        <v>30</v>
      </c>
      <c r="F26" s="6">
        <v>26</v>
      </c>
    </row>
    <row r="27" spans="1:6" x14ac:dyDescent="0.25">
      <c r="A27" s="10">
        <v>123</v>
      </c>
      <c r="B27" s="10" t="s">
        <v>37</v>
      </c>
      <c r="C27" s="10" t="s">
        <v>3</v>
      </c>
      <c r="D27" s="11">
        <v>24</v>
      </c>
      <c r="F27" s="6">
        <v>21</v>
      </c>
    </row>
    <row r="28" spans="1:6" x14ac:dyDescent="0.25">
      <c r="A28" s="10">
        <v>124</v>
      </c>
      <c r="B28" s="10" t="s">
        <v>36</v>
      </c>
      <c r="C28" s="10" t="s">
        <v>7</v>
      </c>
      <c r="D28" s="11">
        <v>45</v>
      </c>
      <c r="F28" s="6">
        <v>37</v>
      </c>
    </row>
  </sheetData>
  <mergeCells count="1">
    <mergeCell ref="A2:F2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1EC0-7C11-475E-A0CA-9CDA653CA32A}">
  <dimension ref="A1:I29"/>
  <sheetViews>
    <sheetView showGridLines="0" topLeftCell="A2" workbookViewId="0">
      <selection activeCell="I7" sqref="I7"/>
    </sheetView>
  </sheetViews>
  <sheetFormatPr defaultRowHeight="15" x14ac:dyDescent="0.25"/>
  <cols>
    <col min="1" max="1" width="25.7109375" customWidth="1"/>
    <col min="2" max="2" width="13.5703125" customWidth="1"/>
    <col min="3" max="3" width="10.5703125" customWidth="1"/>
    <col min="4" max="4" width="13.28515625" customWidth="1"/>
    <col min="5" max="5" width="19.140625" customWidth="1"/>
    <col min="6" max="6" width="16.7109375" customWidth="1"/>
    <col min="7" max="7" width="12.85546875" customWidth="1"/>
    <col min="8" max="8" width="16.140625" customWidth="1"/>
    <col min="9" max="9" width="15.140625" customWidth="1"/>
  </cols>
  <sheetData>
    <row r="1" spans="1:9" ht="8.25" customHeight="1" x14ac:dyDescent="0.7">
      <c r="A1" s="21"/>
      <c r="B1" s="21"/>
      <c r="C1" s="21"/>
      <c r="D1" s="21"/>
      <c r="E1" s="21"/>
      <c r="F1" s="21"/>
    </row>
    <row r="2" spans="1:9" ht="36" customHeight="1" x14ac:dyDescent="0.7">
      <c r="A2" s="21" t="s">
        <v>29</v>
      </c>
      <c r="B2" s="21"/>
      <c r="C2" s="21"/>
      <c r="D2" s="21"/>
      <c r="E2" s="21"/>
      <c r="F2" s="21"/>
      <c r="G2" s="21"/>
      <c r="H2" s="21"/>
      <c r="I2" s="21"/>
    </row>
    <row r="3" spans="1:9" ht="16.5" customHeight="1" x14ac:dyDescent="0.25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58</v>
      </c>
      <c r="H3" s="5" t="s">
        <v>59</v>
      </c>
      <c r="I3" s="5" t="s">
        <v>61</v>
      </c>
    </row>
    <row r="4" spans="1:9" x14ac:dyDescent="0.25">
      <c r="A4" s="5" t="s">
        <v>1</v>
      </c>
      <c r="B4" s="5" t="s">
        <v>57</v>
      </c>
      <c r="C4" s="5" t="s">
        <v>15</v>
      </c>
      <c r="D4" s="5" t="s">
        <v>16</v>
      </c>
      <c r="E4" s="5" t="s">
        <v>17</v>
      </c>
      <c r="F4" s="5" t="s">
        <v>2</v>
      </c>
      <c r="G4" s="18" t="s">
        <v>56</v>
      </c>
      <c r="H4" s="17" t="s">
        <v>60</v>
      </c>
      <c r="I4" s="17" t="s">
        <v>62</v>
      </c>
    </row>
    <row r="5" spans="1:9" x14ac:dyDescent="0.25">
      <c r="A5" s="5"/>
      <c r="B5" s="5"/>
      <c r="C5" s="5"/>
      <c r="D5" s="5"/>
      <c r="E5" s="5"/>
      <c r="F5" s="5"/>
    </row>
    <row r="6" spans="1:9" x14ac:dyDescent="0.25">
      <c r="A6" t="str">
        <f>'Raw Data'!B5</f>
        <v>Crispy Fried Chicken</v>
      </c>
      <c r="B6" s="6">
        <f>'Raw Data'!D5</f>
        <v>13</v>
      </c>
      <c r="C6" s="1">
        <v>20</v>
      </c>
      <c r="D6" s="7">
        <f>B6*C6</f>
        <v>260</v>
      </c>
      <c r="E6" s="1" t="str">
        <f>IF(C6&lt;25,"Low","High")</f>
        <v>Low</v>
      </c>
      <c r="F6" t="str">
        <f>'Raw Data'!C5</f>
        <v>Fast Food</v>
      </c>
      <c r="G6" s="19">
        <f>'Raw Data'!F5</f>
        <v>10</v>
      </c>
      <c r="H6" s="19">
        <f>B6-G6</f>
        <v>3</v>
      </c>
      <c r="I6" s="20">
        <f>H6/B6*100/100</f>
        <v>0.23076923076923075</v>
      </c>
    </row>
    <row r="7" spans="1:9" x14ac:dyDescent="0.25">
      <c r="A7" t="str">
        <f>'Raw Data'!B6</f>
        <v>Cheese Pizza</v>
      </c>
      <c r="B7" s="6">
        <f>'Raw Data'!D6</f>
        <v>12</v>
      </c>
      <c r="C7" s="1">
        <v>15</v>
      </c>
      <c r="D7" s="7">
        <f t="shared" ref="D7:D29" si="0">B7*C7</f>
        <v>180</v>
      </c>
      <c r="E7" s="1" t="str">
        <f t="shared" ref="E7:E29" si="1">IF(C7&lt;25,"Low","High")</f>
        <v>Low</v>
      </c>
      <c r="F7" t="str">
        <f>'Raw Data'!C6</f>
        <v>Fast Food</v>
      </c>
      <c r="G7" s="19">
        <f>'Raw Data'!F6</f>
        <v>9</v>
      </c>
      <c r="H7" s="19">
        <f>B7-G7</f>
        <v>3</v>
      </c>
      <c r="I7" s="20">
        <f>H7/B7*100/100</f>
        <v>0.25</v>
      </c>
    </row>
    <row r="8" spans="1:9" x14ac:dyDescent="0.25">
      <c r="A8" t="str">
        <f>'Raw Data'!B7</f>
        <v>Mini Sliders With Fries</v>
      </c>
      <c r="B8" s="6">
        <f>'Raw Data'!D7</f>
        <v>15</v>
      </c>
      <c r="C8" s="1">
        <v>30</v>
      </c>
      <c r="D8" s="7">
        <f t="shared" si="0"/>
        <v>450</v>
      </c>
      <c r="E8" s="1" t="str">
        <f t="shared" si="1"/>
        <v>High</v>
      </c>
      <c r="F8" t="str">
        <f>'Raw Data'!C7</f>
        <v>Starter</v>
      </c>
      <c r="G8" s="19">
        <f>'Raw Data'!F7</f>
        <v>12</v>
      </c>
      <c r="H8" s="19">
        <f t="shared" ref="H8:H29" si="2">B8-G8</f>
        <v>3</v>
      </c>
      <c r="I8" s="20">
        <f t="shared" ref="I8:I29" si="3">H8/B8*100/100</f>
        <v>0.2</v>
      </c>
    </row>
    <row r="9" spans="1:9" x14ac:dyDescent="0.25">
      <c r="A9" t="str">
        <f>'Raw Data'!B8</f>
        <v>Grilled Club Sandwich</v>
      </c>
      <c r="B9" s="6">
        <f>'Raw Data'!D8</f>
        <v>11</v>
      </c>
      <c r="C9" s="1">
        <v>25</v>
      </c>
      <c r="D9" s="7">
        <f t="shared" si="0"/>
        <v>275</v>
      </c>
      <c r="E9" s="1" t="str">
        <f t="shared" si="1"/>
        <v>High</v>
      </c>
      <c r="F9" t="str">
        <f>'Raw Data'!C8</f>
        <v>Fast Food</v>
      </c>
      <c r="G9" s="19">
        <f>'Raw Data'!F8</f>
        <v>8</v>
      </c>
      <c r="H9" s="19">
        <f t="shared" si="2"/>
        <v>3</v>
      </c>
      <c r="I9" s="20">
        <f t="shared" si="3"/>
        <v>0.27272727272727271</v>
      </c>
    </row>
    <row r="10" spans="1:9" x14ac:dyDescent="0.25">
      <c r="A10" t="str">
        <f>'Raw Data'!B9</f>
        <v>Fresh Spring Rolls</v>
      </c>
      <c r="B10" s="6">
        <f>'Raw Data'!D9</f>
        <v>19</v>
      </c>
      <c r="C10" s="1">
        <v>35</v>
      </c>
      <c r="D10" s="7">
        <f t="shared" si="0"/>
        <v>665</v>
      </c>
      <c r="E10" s="1" t="str">
        <f t="shared" si="1"/>
        <v>High</v>
      </c>
      <c r="F10" t="str">
        <f>'Raw Data'!C9</f>
        <v>Starter</v>
      </c>
      <c r="G10" s="19">
        <f>'Raw Data'!F9</f>
        <v>16</v>
      </c>
      <c r="H10" s="19">
        <f t="shared" si="2"/>
        <v>3</v>
      </c>
      <c r="I10" s="20">
        <f t="shared" si="3"/>
        <v>0.15789473684210525</v>
      </c>
    </row>
    <row r="11" spans="1:9" x14ac:dyDescent="0.25">
      <c r="A11" t="str">
        <f>'Raw Data'!B10</f>
        <v>Samosas With Chutney</v>
      </c>
      <c r="B11" s="6">
        <f>'Raw Data'!D10</f>
        <v>20</v>
      </c>
      <c r="C11" s="1">
        <v>50</v>
      </c>
      <c r="D11" s="7">
        <f t="shared" si="0"/>
        <v>1000</v>
      </c>
      <c r="E11" s="1" t="str">
        <f t="shared" si="1"/>
        <v>High</v>
      </c>
      <c r="F11" t="str">
        <f>'Raw Data'!C10</f>
        <v>Starter</v>
      </c>
      <c r="G11" s="19">
        <f>'Raw Data'!F10</f>
        <v>17</v>
      </c>
      <c r="H11" s="19">
        <f t="shared" si="2"/>
        <v>3</v>
      </c>
      <c r="I11" s="20">
        <f t="shared" si="3"/>
        <v>0.15</v>
      </c>
    </row>
    <row r="12" spans="1:9" x14ac:dyDescent="0.25">
      <c r="A12" t="str">
        <f>'Raw Data'!B11</f>
        <v>Fresh Fries With Dips</v>
      </c>
      <c r="B12" s="6">
        <f>'Raw Data'!D11</f>
        <v>21</v>
      </c>
      <c r="C12" s="1">
        <v>22</v>
      </c>
      <c r="D12" s="7">
        <f t="shared" si="0"/>
        <v>462</v>
      </c>
      <c r="E12" s="1" t="str">
        <f t="shared" si="1"/>
        <v>Low</v>
      </c>
      <c r="F12" t="str">
        <f>'Raw Data'!C11</f>
        <v>Starter</v>
      </c>
      <c r="G12" s="19">
        <f>'Raw Data'!F11</f>
        <v>18</v>
      </c>
      <c r="H12" s="19">
        <f t="shared" si="2"/>
        <v>3</v>
      </c>
      <c r="I12" s="20">
        <f t="shared" si="3"/>
        <v>0.14285714285714285</v>
      </c>
    </row>
    <row r="13" spans="1:9" x14ac:dyDescent="0.25">
      <c r="A13" t="str">
        <f>'Raw Data'!B12</f>
        <v>Fresh Garden Salad</v>
      </c>
      <c r="B13" s="6">
        <f>'Raw Data'!D12</f>
        <v>16</v>
      </c>
      <c r="C13" s="1">
        <v>29</v>
      </c>
      <c r="D13" s="7">
        <f t="shared" si="0"/>
        <v>464</v>
      </c>
      <c r="E13" s="1" t="str">
        <f t="shared" si="1"/>
        <v>High</v>
      </c>
      <c r="F13" t="str">
        <f>'Raw Data'!C12</f>
        <v>Fast Food</v>
      </c>
      <c r="G13" s="19">
        <f>'Raw Data'!F12</f>
        <v>14</v>
      </c>
      <c r="H13" s="19">
        <f t="shared" si="2"/>
        <v>2</v>
      </c>
      <c r="I13" s="20">
        <f t="shared" si="3"/>
        <v>0.125</v>
      </c>
    </row>
    <row r="14" spans="1:9" x14ac:dyDescent="0.25">
      <c r="A14" t="str">
        <f>'Raw Data'!B13</f>
        <v>Chicken Burger</v>
      </c>
      <c r="B14" s="6">
        <f>'Raw Data'!D13</f>
        <v>17</v>
      </c>
      <c r="C14" s="1">
        <v>40</v>
      </c>
      <c r="D14" s="7">
        <f t="shared" si="0"/>
        <v>680</v>
      </c>
      <c r="E14" s="1" t="str">
        <f t="shared" si="1"/>
        <v>High</v>
      </c>
      <c r="F14" t="str">
        <f>'Raw Data'!C13</f>
        <v>Fast Food</v>
      </c>
      <c r="G14" s="19">
        <f>'Raw Data'!F13</f>
        <v>13</v>
      </c>
      <c r="H14" s="19">
        <f t="shared" si="2"/>
        <v>4</v>
      </c>
      <c r="I14" s="20">
        <f t="shared" si="3"/>
        <v>0.23529411764705879</v>
      </c>
    </row>
    <row r="15" spans="1:9" x14ac:dyDescent="0.25">
      <c r="A15" t="str">
        <f>'Raw Data'!B14</f>
        <v>Fruit &amp; Yogurt Bowl</v>
      </c>
      <c r="B15" s="6">
        <f>'Raw Data'!D14</f>
        <v>22</v>
      </c>
      <c r="C15" s="1">
        <v>45</v>
      </c>
      <c r="D15" s="7">
        <f t="shared" si="0"/>
        <v>990</v>
      </c>
      <c r="E15" s="1" t="str">
        <f t="shared" si="1"/>
        <v>High</v>
      </c>
      <c r="F15" t="str">
        <f>'Raw Data'!C14</f>
        <v>Breakfast</v>
      </c>
      <c r="G15" s="19">
        <f>'Raw Data'!F14</f>
        <v>17</v>
      </c>
      <c r="H15" s="19">
        <f t="shared" si="2"/>
        <v>5</v>
      </c>
      <c r="I15" s="20">
        <f t="shared" si="3"/>
        <v>0.22727272727272727</v>
      </c>
    </row>
    <row r="16" spans="1:9" x14ac:dyDescent="0.25">
      <c r="A16" t="str">
        <f>'Raw Data'!B15</f>
        <v>Boiled Eggs With Greens</v>
      </c>
      <c r="B16" s="6">
        <f>'Raw Data'!D15</f>
        <v>14</v>
      </c>
      <c r="C16" s="1">
        <v>32</v>
      </c>
      <c r="D16" s="7">
        <f t="shared" si="0"/>
        <v>448</v>
      </c>
      <c r="E16" s="1" t="str">
        <f t="shared" si="1"/>
        <v>High</v>
      </c>
      <c r="F16" t="str">
        <f>'Raw Data'!C14</f>
        <v>Breakfast</v>
      </c>
      <c r="G16" s="19">
        <f>'Raw Data'!F15</f>
        <v>11</v>
      </c>
      <c r="H16" s="19">
        <f t="shared" si="2"/>
        <v>3</v>
      </c>
      <c r="I16" s="20">
        <f t="shared" si="3"/>
        <v>0.21428571428571427</v>
      </c>
    </row>
    <row r="17" spans="1:9" x14ac:dyDescent="0.25">
      <c r="A17" t="str">
        <f>'Raw Data'!B16</f>
        <v>Mediterranean Platter</v>
      </c>
      <c r="B17" s="6">
        <f>'Raw Data'!D16</f>
        <v>12</v>
      </c>
      <c r="C17" s="1">
        <v>43</v>
      </c>
      <c r="D17" s="7">
        <f t="shared" si="0"/>
        <v>516</v>
      </c>
      <c r="E17" s="1" t="str">
        <f t="shared" si="1"/>
        <v>High</v>
      </c>
      <c r="F17" t="str">
        <f>'Raw Data'!C16</f>
        <v>Fast Food</v>
      </c>
      <c r="G17" s="19">
        <f>'Raw Data'!F16</f>
        <v>9</v>
      </c>
      <c r="H17" s="19">
        <f t="shared" si="2"/>
        <v>3</v>
      </c>
      <c r="I17" s="20">
        <f t="shared" si="3"/>
        <v>0.25</v>
      </c>
    </row>
    <row r="18" spans="1:9" x14ac:dyDescent="0.25">
      <c r="A18" t="str">
        <f>'Raw Data'!B17</f>
        <v>Pumpkin Soup</v>
      </c>
      <c r="B18" s="6">
        <f>'Raw Data'!D17</f>
        <v>11</v>
      </c>
      <c r="C18" s="1">
        <v>60</v>
      </c>
      <c r="D18" s="7">
        <f t="shared" si="0"/>
        <v>660</v>
      </c>
      <c r="E18" s="1" t="str">
        <f t="shared" si="1"/>
        <v>High</v>
      </c>
      <c r="F18" t="str">
        <f>'Raw Data'!C17</f>
        <v>Soup</v>
      </c>
      <c r="G18" s="19">
        <f>'Raw Data'!F17</f>
        <v>9</v>
      </c>
      <c r="H18" s="19">
        <f t="shared" si="2"/>
        <v>2</v>
      </c>
      <c r="I18" s="20">
        <f t="shared" si="3"/>
        <v>0.18181818181818182</v>
      </c>
    </row>
    <row r="19" spans="1:9" x14ac:dyDescent="0.25">
      <c r="A19" t="str">
        <f>'Raw Data'!B18</f>
        <v>Vegetable Soup</v>
      </c>
      <c r="B19" s="6">
        <f>'Raw Data'!D18</f>
        <v>18</v>
      </c>
      <c r="C19" s="1">
        <v>53</v>
      </c>
      <c r="D19" s="7">
        <f t="shared" si="0"/>
        <v>954</v>
      </c>
      <c r="E19" s="1" t="str">
        <f t="shared" si="1"/>
        <v>High</v>
      </c>
      <c r="F19" t="str">
        <f>'Raw Data'!C18</f>
        <v>Soup</v>
      </c>
      <c r="G19" s="19">
        <f>'Raw Data'!F18</f>
        <v>14</v>
      </c>
      <c r="H19" s="19">
        <f t="shared" si="2"/>
        <v>4</v>
      </c>
      <c r="I19" s="20">
        <f t="shared" si="3"/>
        <v>0.22222222222222221</v>
      </c>
    </row>
    <row r="20" spans="1:9" x14ac:dyDescent="0.25">
      <c r="A20" t="str">
        <f>'Raw Data'!B19</f>
        <v>Spinach Chicken</v>
      </c>
      <c r="B20" s="6">
        <f>'Raw Data'!D19</f>
        <v>19</v>
      </c>
      <c r="C20" s="1">
        <v>12</v>
      </c>
      <c r="D20" s="7">
        <f t="shared" si="0"/>
        <v>228</v>
      </c>
      <c r="E20" s="1" t="str">
        <f t="shared" si="1"/>
        <v>Low</v>
      </c>
      <c r="F20" t="str">
        <f>'Raw Data'!C19</f>
        <v>Fast Food</v>
      </c>
      <c r="G20" s="19">
        <f>'Raw Data'!F19</f>
        <v>17</v>
      </c>
      <c r="H20" s="19">
        <f t="shared" si="2"/>
        <v>2</v>
      </c>
      <c r="I20" s="20">
        <f t="shared" si="3"/>
        <v>0.10526315789473684</v>
      </c>
    </row>
    <row r="21" spans="1:9" x14ac:dyDescent="0.25">
      <c r="A21" t="str">
        <f>'Raw Data'!B20</f>
        <v>Pasta With Vegetables</v>
      </c>
      <c r="B21" s="6">
        <f>'Raw Data'!D20</f>
        <v>20</v>
      </c>
      <c r="C21" s="1">
        <v>16</v>
      </c>
      <c r="D21" s="7">
        <f t="shared" si="0"/>
        <v>320</v>
      </c>
      <c r="E21" s="1" t="str">
        <f t="shared" si="1"/>
        <v>Low</v>
      </c>
      <c r="F21" t="str">
        <f>'Raw Data'!C20</f>
        <v>Fast Food</v>
      </c>
      <c r="G21" s="19">
        <f>'Raw Data'!F20</f>
        <v>18</v>
      </c>
      <c r="H21" s="19">
        <f t="shared" si="2"/>
        <v>2</v>
      </c>
      <c r="I21" s="20">
        <f t="shared" si="3"/>
        <v>0.1</v>
      </c>
    </row>
    <row r="22" spans="1:9" x14ac:dyDescent="0.25">
      <c r="A22" t="str">
        <f>'Raw Data'!B21</f>
        <v>Dessert Plate</v>
      </c>
      <c r="B22" s="6">
        <f>'Raw Data'!D21</f>
        <v>23</v>
      </c>
      <c r="C22" s="1">
        <v>43</v>
      </c>
      <c r="D22" s="7">
        <f t="shared" si="0"/>
        <v>989</v>
      </c>
      <c r="E22" s="1" t="str">
        <f t="shared" si="1"/>
        <v>High</v>
      </c>
      <c r="F22" t="str">
        <f>'Raw Data'!C21</f>
        <v>Fast Food</v>
      </c>
      <c r="G22" s="19">
        <f>'Raw Data'!F21</f>
        <v>16</v>
      </c>
      <c r="H22" s="19">
        <f t="shared" si="2"/>
        <v>7</v>
      </c>
      <c r="I22" s="20">
        <f t="shared" si="3"/>
        <v>0.30434782608695654</v>
      </c>
    </row>
    <row r="23" spans="1:9" x14ac:dyDescent="0.25">
      <c r="A23" t="str">
        <f>'Raw Data'!B22</f>
        <v>Mixed Chicken</v>
      </c>
      <c r="B23" s="6">
        <f>'Raw Data'!D22</f>
        <v>16</v>
      </c>
      <c r="C23" s="1">
        <v>30</v>
      </c>
      <c r="D23" s="7">
        <f t="shared" si="0"/>
        <v>480</v>
      </c>
      <c r="E23" s="1" t="str">
        <f t="shared" si="1"/>
        <v>High</v>
      </c>
      <c r="F23" t="str">
        <f>'Raw Data'!C22</f>
        <v>Fast Food</v>
      </c>
      <c r="G23" s="19">
        <f>'Raw Data'!F22</f>
        <v>12</v>
      </c>
      <c r="H23" s="19">
        <f t="shared" si="2"/>
        <v>4</v>
      </c>
      <c r="I23" s="20">
        <f t="shared" si="3"/>
        <v>0.25</v>
      </c>
    </row>
    <row r="24" spans="1:9" x14ac:dyDescent="0.25">
      <c r="A24" t="str">
        <f>'Raw Data'!B23</f>
        <v>Grilled Meat</v>
      </c>
      <c r="B24" s="6">
        <f>'Raw Data'!D23</f>
        <v>26</v>
      </c>
      <c r="C24" s="1">
        <v>65</v>
      </c>
      <c r="D24" s="7">
        <f t="shared" si="0"/>
        <v>1690</v>
      </c>
      <c r="E24" s="1" t="str">
        <f t="shared" si="1"/>
        <v>High</v>
      </c>
      <c r="F24" t="str">
        <f>'Raw Data'!C23</f>
        <v>Fast Food</v>
      </c>
      <c r="G24" s="19">
        <f>'Raw Data'!F23</f>
        <v>21</v>
      </c>
      <c r="H24" s="19">
        <f t="shared" si="2"/>
        <v>5</v>
      </c>
      <c r="I24" s="20">
        <f t="shared" si="3"/>
        <v>0.19230769230769235</v>
      </c>
    </row>
    <row r="25" spans="1:9" x14ac:dyDescent="0.25">
      <c r="A25" t="str">
        <f>'Raw Data'!B24</f>
        <v>Fruit Porridge</v>
      </c>
      <c r="B25" s="6">
        <f>'Raw Data'!D24</f>
        <v>23</v>
      </c>
      <c r="C25" s="1">
        <v>14</v>
      </c>
      <c r="D25" s="7">
        <f t="shared" si="0"/>
        <v>322</v>
      </c>
      <c r="E25" s="1" t="str">
        <f t="shared" si="1"/>
        <v>Low</v>
      </c>
      <c r="F25" t="str">
        <f>'Raw Data'!C24</f>
        <v>Dessert</v>
      </c>
      <c r="G25" s="19">
        <f>'Raw Data'!F24</f>
        <v>20</v>
      </c>
      <c r="H25" s="19">
        <f t="shared" si="2"/>
        <v>3</v>
      </c>
      <c r="I25" s="20">
        <f t="shared" si="3"/>
        <v>0.13043478260869565</v>
      </c>
    </row>
    <row r="26" spans="1:9" x14ac:dyDescent="0.25">
      <c r="A26" t="str">
        <f>'Raw Data'!B25</f>
        <v>Grilled Fish</v>
      </c>
      <c r="B26" s="6">
        <f>'Raw Data'!D25</f>
        <v>28</v>
      </c>
      <c r="C26" s="1">
        <v>47</v>
      </c>
      <c r="D26" s="7">
        <f t="shared" si="0"/>
        <v>1316</v>
      </c>
      <c r="E26" s="1" t="str">
        <f t="shared" si="1"/>
        <v>High</v>
      </c>
      <c r="F26" t="str">
        <f>'Raw Data'!C25</f>
        <v>Fast Food</v>
      </c>
      <c r="G26" s="19">
        <f>'Raw Data'!F25</f>
        <v>25</v>
      </c>
      <c r="H26" s="19">
        <f t="shared" si="2"/>
        <v>3</v>
      </c>
      <c r="I26" s="20">
        <f t="shared" si="3"/>
        <v>0.10714285714285714</v>
      </c>
    </row>
    <row r="27" spans="1:9" x14ac:dyDescent="0.25">
      <c r="A27" t="str">
        <f>'Raw Data'!B26</f>
        <v>Beef Steek</v>
      </c>
      <c r="B27" s="6">
        <f>'Raw Data'!D26</f>
        <v>30</v>
      </c>
      <c r="C27" s="1">
        <v>55</v>
      </c>
      <c r="D27" s="7">
        <f t="shared" si="0"/>
        <v>1650</v>
      </c>
      <c r="E27" s="1" t="str">
        <f t="shared" si="1"/>
        <v>High</v>
      </c>
      <c r="F27" t="str">
        <f>'Raw Data'!C26</f>
        <v>Fast Food</v>
      </c>
      <c r="G27" s="19">
        <f>'Raw Data'!F26</f>
        <v>26</v>
      </c>
      <c r="H27" s="19">
        <f t="shared" si="2"/>
        <v>4</v>
      </c>
      <c r="I27" s="20">
        <f t="shared" si="3"/>
        <v>0.13333333333333333</v>
      </c>
    </row>
    <row r="28" spans="1:9" x14ac:dyDescent="0.25">
      <c r="A28" t="str">
        <f>'Raw Data'!B27</f>
        <v>Chicken Wrap</v>
      </c>
      <c r="B28" s="6">
        <f>'Raw Data'!D27</f>
        <v>24</v>
      </c>
      <c r="C28" s="1">
        <v>57</v>
      </c>
      <c r="D28" s="7">
        <f t="shared" si="0"/>
        <v>1368</v>
      </c>
      <c r="E28" s="1" t="str">
        <f t="shared" si="1"/>
        <v>High</v>
      </c>
      <c r="F28" t="str">
        <f>'Raw Data'!C27</f>
        <v>Fast Food</v>
      </c>
      <c r="G28" s="19">
        <f>'Raw Data'!F27</f>
        <v>21</v>
      </c>
      <c r="H28" s="19">
        <f t="shared" si="2"/>
        <v>3</v>
      </c>
      <c r="I28" s="20">
        <f t="shared" si="3"/>
        <v>0.125</v>
      </c>
    </row>
    <row r="29" spans="1:9" x14ac:dyDescent="0.25">
      <c r="A29" t="str">
        <f>'Raw Data'!B28</f>
        <v>Chocolate Cake</v>
      </c>
      <c r="B29" s="6">
        <f>'Raw Data'!D28</f>
        <v>45</v>
      </c>
      <c r="C29" s="1">
        <v>62</v>
      </c>
      <c r="D29" s="7">
        <f t="shared" si="0"/>
        <v>2790</v>
      </c>
      <c r="E29" s="1" t="str">
        <f t="shared" si="1"/>
        <v>High</v>
      </c>
      <c r="F29" t="str">
        <f>'Raw Data'!C28</f>
        <v>Dessert</v>
      </c>
      <c r="G29" s="19">
        <f>'Raw Data'!F28</f>
        <v>37</v>
      </c>
      <c r="H29" s="19">
        <f t="shared" si="2"/>
        <v>8</v>
      </c>
      <c r="I29" s="20">
        <f t="shared" si="3"/>
        <v>0.17777777777777778</v>
      </c>
    </row>
  </sheetData>
  <mergeCells count="2">
    <mergeCell ref="A1:F1"/>
    <mergeCell ref="A2:I2"/>
  </mergeCells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70B1-516E-495B-872C-B97E267760A6}">
  <dimension ref="A1:E17"/>
  <sheetViews>
    <sheetView showGridLines="0" tabSelected="1" workbookViewId="0">
      <selection activeCell="H20" sqref="H20"/>
    </sheetView>
  </sheetViews>
  <sheetFormatPr defaultRowHeight="15" x14ac:dyDescent="0.25"/>
  <cols>
    <col min="1" max="1" width="26.5703125" customWidth="1"/>
    <col min="2" max="2" width="0.140625" customWidth="1"/>
    <col min="3" max="3" width="11" hidden="1" customWidth="1"/>
    <col min="4" max="4" width="13" customWidth="1"/>
    <col min="5" max="5" width="9.140625" hidden="1" customWidth="1"/>
  </cols>
  <sheetData>
    <row r="1" spans="1:5" ht="39.75" customHeight="1" x14ac:dyDescent="0.7">
      <c r="A1" s="21" t="s">
        <v>30</v>
      </c>
      <c r="B1" s="21"/>
      <c r="C1" s="21"/>
      <c r="D1" s="21"/>
    </row>
    <row r="2" spans="1:5" ht="0.75" hidden="1" customHeight="1" x14ac:dyDescent="0.7">
      <c r="A2" s="22"/>
      <c r="B2" s="22"/>
      <c r="C2" s="22"/>
      <c r="D2" s="22"/>
    </row>
    <row r="3" spans="1:5" ht="15" hidden="1" customHeight="1" x14ac:dyDescent="0.25">
      <c r="A3" s="23" t="s">
        <v>18</v>
      </c>
      <c r="B3" s="23"/>
      <c r="C3" s="23"/>
      <c r="D3" s="23" t="s">
        <v>19</v>
      </c>
      <c r="E3" s="23"/>
    </row>
    <row r="4" spans="1:5" ht="15" hidden="1" customHeight="1" x14ac:dyDescent="0.25">
      <c r="A4" s="23"/>
      <c r="B4" s="23"/>
      <c r="C4" s="23"/>
      <c r="D4" s="23"/>
      <c r="E4" s="23"/>
    </row>
    <row r="5" spans="1:5" x14ac:dyDescent="0.25">
      <c r="A5" s="1" t="s">
        <v>9</v>
      </c>
      <c r="B5" s="1" t="s">
        <v>10</v>
      </c>
      <c r="C5" s="1" t="s">
        <v>11</v>
      </c>
      <c r="D5" s="15" t="s">
        <v>12</v>
      </c>
      <c r="E5" s="8" t="s">
        <v>13</v>
      </c>
    </row>
    <row r="6" spans="1:5" x14ac:dyDescent="0.25">
      <c r="A6" s="10" t="s">
        <v>20</v>
      </c>
      <c r="B6" s="1"/>
      <c r="C6" s="1"/>
      <c r="D6" s="15">
        <f>SUM(Calculations!D4:D27)</f>
        <v>14999</v>
      </c>
      <c r="E6" s="8"/>
    </row>
    <row r="7" spans="1:5" x14ac:dyDescent="0.25">
      <c r="A7" s="10" t="s">
        <v>21</v>
      </c>
      <c r="B7" s="1"/>
      <c r="C7" s="1"/>
      <c r="D7" s="15">
        <f>AVERAGE(Calculations!B4:B27)</f>
        <v>18.454545454545453</v>
      </c>
      <c r="E7" s="8"/>
    </row>
    <row r="8" spans="1:5" x14ac:dyDescent="0.25">
      <c r="A8" s="10" t="s">
        <v>22</v>
      </c>
      <c r="B8" s="1"/>
      <c r="C8" s="1"/>
      <c r="D8" s="1">
        <f>COUNTIF(Calculations!E6:E29,"Low")</f>
        <v>6</v>
      </c>
      <c r="E8" s="8"/>
    </row>
    <row r="9" spans="1:5" x14ac:dyDescent="0.25">
      <c r="A9" s="10" t="s">
        <v>23</v>
      </c>
      <c r="B9" s="1"/>
      <c r="C9" s="1"/>
      <c r="D9" s="1">
        <f>COUNTIF(Calculations!F6:F29,"Breakfast")</f>
        <v>2</v>
      </c>
      <c r="E9" s="8"/>
    </row>
    <row r="10" spans="1:5" x14ac:dyDescent="0.25">
      <c r="A10" s="10" t="s">
        <v>24</v>
      </c>
      <c r="B10" s="1"/>
      <c r="C10" s="1"/>
      <c r="D10" s="1">
        <f>COUNTIF(Calculations!F6:F29,"Soup")</f>
        <v>2</v>
      </c>
      <c r="E10" s="8"/>
    </row>
    <row r="11" spans="1:5" x14ac:dyDescent="0.25">
      <c r="A11" s="10" t="s">
        <v>25</v>
      </c>
      <c r="B11" s="1"/>
      <c r="C11" s="1"/>
      <c r="D11" s="1">
        <f>COUNTIF(Calculations!F6:F29,"Dessert")</f>
        <v>2</v>
      </c>
      <c r="E11" s="8"/>
    </row>
    <row r="12" spans="1:5" x14ac:dyDescent="0.25">
      <c r="A12" s="10" t="s">
        <v>26</v>
      </c>
      <c r="B12" s="1"/>
      <c r="C12" s="1"/>
      <c r="D12" s="1">
        <f>COUNTIF(Calculations!F6:F29,"Starter")</f>
        <v>4</v>
      </c>
      <c r="E12" s="8"/>
    </row>
    <row r="13" spans="1:5" x14ac:dyDescent="0.25">
      <c r="A13" s="10" t="s">
        <v>27</v>
      </c>
      <c r="B13" s="1"/>
      <c r="C13" s="1"/>
      <c r="D13" s="1">
        <f>SUM(Calculations!C6:C29)</f>
        <v>900</v>
      </c>
      <c r="E13" s="8"/>
    </row>
    <row r="14" spans="1:5" x14ac:dyDescent="0.25">
      <c r="A14" s="10" t="s">
        <v>28</v>
      </c>
      <c r="B14" s="1"/>
      <c r="C14" s="1"/>
      <c r="D14" s="1">
        <f>COUNTIF(Calculations!E6:E29,"High")</f>
        <v>18</v>
      </c>
      <c r="E14" s="8"/>
    </row>
    <row r="15" spans="1:5" x14ac:dyDescent="0.25">
      <c r="A15" s="10" t="s">
        <v>63</v>
      </c>
      <c r="B15" s="1"/>
      <c r="C15" s="1"/>
      <c r="D15" s="16">
        <f>SUM(Calculations!B6:B29)</f>
        <v>475</v>
      </c>
      <c r="E15" s="9"/>
    </row>
    <row r="16" spans="1:5" x14ac:dyDescent="0.25">
      <c r="A16" s="10" t="s">
        <v>64</v>
      </c>
      <c r="B16" s="1"/>
      <c r="C16" s="1"/>
      <c r="D16" s="16">
        <f>SUM(Calculations!G6:G29)</f>
        <v>390</v>
      </c>
      <c r="E16" s="8"/>
    </row>
    <row r="17" spans="1:5" x14ac:dyDescent="0.25">
      <c r="A17" s="10" t="s">
        <v>65</v>
      </c>
      <c r="B17" s="1"/>
      <c r="C17" s="1"/>
      <c r="D17" s="16">
        <f>SUM(Calculations!H6:H29)</f>
        <v>85</v>
      </c>
      <c r="E17" s="8"/>
    </row>
  </sheetData>
  <mergeCells count="4">
    <mergeCell ref="A1:D1"/>
    <mergeCell ref="A2:D2"/>
    <mergeCell ref="A3:C4"/>
    <mergeCell ref="D3:E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Calculations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2026-01-02T14:43:13Z</dcterms:created>
  <dcterms:modified xsi:type="dcterms:W3CDTF">2026-01-05T09:56:38Z</dcterms:modified>
</cp:coreProperties>
</file>